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Wagner\Documents\A Pessoal\FIAP 2025-2 Aulas Presenciais e Remotas\TDS EAD Java Advanced 2 (Spring e uServices)\Aulas N Ter-Qui 1P-1R - 2TDSR\Aula 17 - 29-09-2025 - P\"/>
    </mc:Choice>
  </mc:AlternateContent>
  <xr:revisionPtr revIDLastSave="0" documentId="8_{EB0B4386-D312-4B93-B0C7-742B04DD1154}" xr6:coauthVersionLast="47" xr6:coauthVersionMax="47" xr10:uidLastSave="{00000000-0000-0000-0000-000000000000}"/>
  <bookViews>
    <workbookView xWindow="1170" yWindow="0" windowWidth="18060" windowHeight="10605" xr2:uid="{B416F9FA-AB9E-4F16-B0F5-94115A5CB8E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G8" i="1"/>
  <c r="H8" i="1"/>
  <c r="G10" i="1"/>
  <c r="H10" i="1"/>
  <c r="I10" i="1"/>
  <c r="C7" i="1"/>
  <c r="C6" i="1"/>
  <c r="G6" i="1" s="1"/>
  <c r="H6" i="1"/>
</calcChain>
</file>

<file path=xl/sharedStrings.xml><?xml version="1.0" encoding="utf-8"?>
<sst xmlns="http://schemas.openxmlformats.org/spreadsheetml/2006/main" count="24" uniqueCount="17">
  <si>
    <t>Grupo LTAKN: Enzo Prado Soddano, Lucas Resende Lima e Vinícius Prates Altafini</t>
  </si>
  <si>
    <t>RSA - Tabela para criação de chaves</t>
  </si>
  <si>
    <t>Encontrar dois primos P e Q</t>
  </si>
  <si>
    <t>P</t>
  </si>
  <si>
    <t>Q</t>
  </si>
  <si>
    <t>Chaves Públicas:</t>
  </si>
  <si>
    <t>N</t>
  </si>
  <si>
    <t>E</t>
  </si>
  <si>
    <t>Usadas para criptografar</t>
  </si>
  <si>
    <t>Calcular N = P*Q (modulus)</t>
  </si>
  <si>
    <r>
      <t xml:space="preserve">Calcular </t>
    </r>
    <r>
      <rPr>
        <sz val="11"/>
        <color theme="1"/>
        <rFont val="Calibri"/>
        <family val="2"/>
      </rPr>
      <t>ϕ</t>
    </r>
    <r>
      <rPr>
        <sz val="11"/>
        <color theme="1"/>
        <rFont val="Calibri"/>
        <family val="2"/>
        <scheme val="minor"/>
      </rPr>
      <t>(N) - Função Totiente (ϕ(N) = (p-1)*(q-1))</t>
    </r>
  </si>
  <si>
    <t>Definir E ou K (qualquer valor entre 1 e ϕ(N), não pode ser divisor comum com ϕ(N))</t>
  </si>
  <si>
    <t>Calcular D (Inverso Multiplicativo -&gt; D*E = 1 mod(ϕ(N)))</t>
  </si>
  <si>
    <t>Chaves Privadas:</t>
  </si>
  <si>
    <t>D</t>
  </si>
  <si>
    <t>Usadas para decifrar</t>
  </si>
  <si>
    <t>https://planetcalc.com/3311/ &lt;-- Integer = E / Modulo = ϕ(N)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</si>
</sst>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24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/>
    <xf numFmtId="0" fontId="0" fillId="0" borderId="15" xfId="0" applyBorder="1"/>
    <xf numFmtId="0" fontId="0" fillId="0" borderId="11" xfId="0" applyBorder="1"/>
    <xf numFmtId="0" fontId="1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4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" fillId="3" borderId="21" xfId="0" applyFont="1" applyFill="1" applyBorder="1" applyAlignment="1">
      <alignment horizontal="right" vertical="center"/>
    </xf>
    <xf numFmtId="0" fontId="1" fillId="3" borderId="22" xfId="0" applyFont="1" applyFill="1" applyBorder="1" applyAlignment="1">
      <alignment horizontal="right" vertical="center"/>
    </xf>
    <xf numFmtId="0" fontId="1" fillId="3" borderId="23" xfId="0" applyFont="1" applyFill="1" applyBorder="1" applyAlignment="1">
      <alignment horizontal="right" vertical="center"/>
    </xf>
    <xf numFmtId="0" fontId="1" fillId="3" borderId="24" xfId="0" applyFont="1" applyFill="1" applyBorder="1" applyAlignment="1">
      <alignment horizontal="right" vertical="center"/>
    </xf>
    <xf numFmtId="0" fontId="1" fillId="3" borderId="19" xfId="0" applyFont="1" applyFill="1" applyBorder="1" applyAlignment="1">
      <alignment horizontal="right" vertical="center"/>
    </xf>
    <xf numFmtId="0" fontId="1" fillId="3" borderId="20" xfId="0" applyFont="1" applyFill="1" applyBorder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25" xfId="0" applyFont="1" applyFill="1" applyBorder="1" applyAlignment="1">
      <alignment horizontal="right" vertical="center"/>
    </xf>
    <xf numFmtId="0" fontId="1" fillId="2" borderId="26" xfId="0" applyFont="1" applyFill="1" applyBorder="1" applyAlignment="1">
      <alignment horizontal="righ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5153-E943-4CE5-B707-62FD03FCA755}">
  <dimension ref="B1:J10"/>
  <sheetViews>
    <sheetView tabSelected="1" zoomScaleNormal="100" workbookViewId="0">
      <selection activeCell="D15" sqref="D15"/>
    </sheetView>
  </sheetViews>
  <sheetFormatPr defaultRowHeight="15"/>
  <cols>
    <col min="1" max="1" width="5" customWidth="1"/>
    <col min="2" max="2" width="77.5703125" bestFit="1" customWidth="1"/>
    <col min="3" max="4" width="6.7109375" customWidth="1"/>
    <col min="6" max="6" width="18.85546875" customWidth="1"/>
    <col min="10" max="10" width="25.42578125" customWidth="1"/>
  </cols>
  <sheetData>
    <row r="1" spans="2:10" ht="15.75" thickBot="1"/>
    <row r="2" spans="2:10" ht="30.75" customHeight="1">
      <c r="B2" s="48" t="s">
        <v>0</v>
      </c>
      <c r="C2" s="49"/>
      <c r="D2" s="49"/>
      <c r="E2" s="49"/>
      <c r="F2" s="49"/>
      <c r="G2" s="49"/>
      <c r="H2" s="49"/>
      <c r="I2" s="49"/>
      <c r="J2" s="50"/>
    </row>
    <row r="3" spans="2:10" ht="31.5">
      <c r="B3" s="39" t="s">
        <v>1</v>
      </c>
      <c r="C3" s="40"/>
      <c r="D3" s="40"/>
      <c r="E3" s="40"/>
      <c r="F3" s="40"/>
      <c r="G3" s="40"/>
      <c r="H3" s="40"/>
      <c r="I3" s="40"/>
      <c r="J3" s="41"/>
    </row>
    <row r="4" spans="2:10">
      <c r="B4" s="37" t="s">
        <v>2</v>
      </c>
      <c r="C4" s="5" t="s">
        <v>3</v>
      </c>
      <c r="D4" s="1" t="s">
        <v>4</v>
      </c>
    </row>
    <row r="5" spans="2:10" ht="15.75" thickBot="1">
      <c r="B5" s="38"/>
      <c r="C5" s="4">
        <v>19</v>
      </c>
      <c r="D5" s="2">
        <v>31</v>
      </c>
      <c r="F5" s="23" t="s">
        <v>5</v>
      </c>
      <c r="G5" s="11" t="s">
        <v>6</v>
      </c>
      <c r="H5" s="3" t="s">
        <v>7</v>
      </c>
      <c r="I5" s="27" t="s">
        <v>8</v>
      </c>
      <c r="J5" s="28"/>
    </row>
    <row r="6" spans="2:10" ht="15.75" thickBot="1">
      <c r="B6" s="6" t="s">
        <v>9</v>
      </c>
      <c r="C6" s="42">
        <f>C5*D5</f>
        <v>589</v>
      </c>
      <c r="D6" s="43"/>
      <c r="F6" s="24"/>
      <c r="G6" s="12">
        <f>C6</f>
        <v>589</v>
      </c>
      <c r="H6" s="9">
        <f>C8</f>
        <v>7</v>
      </c>
      <c r="I6" s="29"/>
      <c r="J6" s="30"/>
    </row>
    <row r="7" spans="2:10">
      <c r="B7" s="7" t="s">
        <v>10</v>
      </c>
      <c r="C7" s="44">
        <f>((C5-1)*(D5-1))</f>
        <v>540</v>
      </c>
      <c r="D7" s="45"/>
      <c r="F7" s="25" t="s">
        <v>5</v>
      </c>
      <c r="G7" s="11" t="s">
        <v>3</v>
      </c>
      <c r="H7" s="13" t="s">
        <v>4</v>
      </c>
      <c r="I7" s="3" t="s">
        <v>7</v>
      </c>
      <c r="J7" s="31" t="s">
        <v>8</v>
      </c>
    </row>
    <row r="8" spans="2:10" ht="15.75" thickBot="1">
      <c r="B8" s="7" t="s">
        <v>11</v>
      </c>
      <c r="C8" s="46">
        <v>7</v>
      </c>
      <c r="D8" s="47"/>
      <c r="F8" s="26"/>
      <c r="G8" s="12">
        <f>C5</f>
        <v>19</v>
      </c>
      <c r="H8" s="14">
        <f>D5</f>
        <v>31</v>
      </c>
      <c r="I8" s="9">
        <f>C8</f>
        <v>7</v>
      </c>
      <c r="J8" s="32"/>
    </row>
    <row r="9" spans="2:10" ht="15.75" thickBot="1">
      <c r="B9" s="8" t="s">
        <v>12</v>
      </c>
      <c r="C9" s="21">
        <v>463</v>
      </c>
      <c r="D9" s="22"/>
      <c r="F9" s="33" t="s">
        <v>13</v>
      </c>
      <c r="G9" s="17" t="s">
        <v>3</v>
      </c>
      <c r="H9" s="15" t="s">
        <v>4</v>
      </c>
      <c r="I9" s="18" t="s">
        <v>14</v>
      </c>
      <c r="J9" s="35" t="s">
        <v>15</v>
      </c>
    </row>
    <row r="10" spans="2:10" ht="15.75" thickBot="1">
      <c r="B10" s="10" t="s">
        <v>16</v>
      </c>
      <c r="F10" s="34"/>
      <c r="G10" s="19">
        <f>C5</f>
        <v>19</v>
      </c>
      <c r="H10" s="16">
        <f>D5</f>
        <v>31</v>
      </c>
      <c r="I10" s="20">
        <f>C9</f>
        <v>463</v>
      </c>
      <c r="J10" s="36"/>
    </row>
  </sheetData>
  <mergeCells count="13">
    <mergeCell ref="B4:B5"/>
    <mergeCell ref="B2:J2"/>
    <mergeCell ref="C6:D6"/>
    <mergeCell ref="C7:D7"/>
    <mergeCell ref="C8:D8"/>
    <mergeCell ref="B3:J3"/>
    <mergeCell ref="C9:D9"/>
    <mergeCell ref="F5:F6"/>
    <mergeCell ref="F7:F8"/>
    <mergeCell ref="I5:J6"/>
    <mergeCell ref="J7:J8"/>
    <mergeCell ref="F9:F10"/>
    <mergeCell ref="J9:J1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MSWagner</dc:creator>
  <cp:keywords/>
  <dc:description/>
  <cp:lastModifiedBy/>
  <cp:revision/>
  <dcterms:created xsi:type="dcterms:W3CDTF">2023-05-02T01:22:38Z</dcterms:created>
  <dcterms:modified xsi:type="dcterms:W3CDTF">2025-10-17T21:51:41Z</dcterms:modified>
  <cp:category/>
  <cp:contentStatus/>
</cp:coreProperties>
</file>